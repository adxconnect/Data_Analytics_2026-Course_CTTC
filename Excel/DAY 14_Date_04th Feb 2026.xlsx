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_Analytics_2026(Course)\"/>
    </mc:Choice>
  </mc:AlternateContent>
  <xr:revisionPtr revIDLastSave="0" documentId="13_ncr:1_{FF7D1D4A-1BB7-4422-8392-A3723AEFE9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sics of Excel" sheetId="1" r:id="rId1"/>
    <sheet name="Text Functions" sheetId="3" r:id="rId2"/>
    <sheet name="Date Functions" sheetId="4" r:id="rId3"/>
  </sheets>
  <definedNames>
    <definedName name="_xlchart.v1.0" hidden="1">'Basics of Excel'!$G$16:$G$21</definedName>
    <definedName name="_xlchart.v1.1" hidden="1">'Basics of Excel'!$G$16:$G$21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2" i="4"/>
  <c r="F91" i="3"/>
  <c r="F90" i="3"/>
  <c r="F92" i="3"/>
  <c r="D78" i="3"/>
  <c r="D79" i="3"/>
  <c r="D80" i="3"/>
  <c r="D81" i="3"/>
  <c r="D82" i="3"/>
  <c r="D83" i="3"/>
  <c r="D84" i="3"/>
  <c r="D85" i="3"/>
  <c r="D77" i="3"/>
  <c r="D64" i="3"/>
  <c r="D65" i="3"/>
  <c r="D66" i="3"/>
  <c r="D67" i="3"/>
  <c r="D68" i="3"/>
  <c r="D69" i="3"/>
  <c r="D70" i="3"/>
  <c r="D71" i="3"/>
  <c r="D72" i="3"/>
  <c r="D53" i="3"/>
  <c r="D54" i="3"/>
  <c r="D55" i="3"/>
  <c r="D56" i="3"/>
  <c r="D57" i="3"/>
  <c r="D58" i="3"/>
  <c r="D59" i="3"/>
  <c r="D52" i="3"/>
  <c r="D51" i="3" a="1"/>
  <c r="D51" i="3" s="1"/>
  <c r="E39" i="3"/>
  <c r="E40" i="3"/>
  <c r="E41" i="3"/>
  <c r="E42" i="3"/>
  <c r="E43" i="3"/>
  <c r="E44" i="3"/>
  <c r="E45" i="3"/>
  <c r="E46" i="3"/>
  <c r="E38" i="3"/>
  <c r="D38" i="3"/>
  <c r="D39" i="3"/>
  <c r="D40" i="3"/>
  <c r="D41" i="3"/>
  <c r="D42" i="3"/>
  <c r="D43" i="3"/>
  <c r="D44" i="3"/>
  <c r="D45" i="3"/>
  <c r="D46" i="3"/>
  <c r="C33" i="3"/>
  <c r="B33" i="3"/>
  <c r="C32" i="3"/>
  <c r="B32" i="3"/>
  <c r="C31" i="3"/>
  <c r="B31" i="3"/>
  <c r="C30" i="3"/>
  <c r="B30" i="3"/>
  <c r="C29" i="3"/>
  <c r="B29" i="3"/>
  <c r="C28" i="3"/>
  <c r="B28" i="3"/>
  <c r="C27" i="3"/>
  <c r="B27" i="3"/>
  <c r="C26" i="3"/>
  <c r="B26" i="3"/>
  <c r="D24" i="3"/>
  <c r="D23" i="3"/>
  <c r="D22" i="3"/>
  <c r="D21" i="3"/>
  <c r="D20" i="3"/>
  <c r="D19" i="3"/>
  <c r="D28" i="3" s="1"/>
  <c r="H5" i="3"/>
  <c r="H6" i="3"/>
  <c r="H7" i="3"/>
  <c r="H8" i="3"/>
  <c r="H9" i="3"/>
  <c r="H10" i="3"/>
  <c r="H11" i="3"/>
  <c r="H12" i="3"/>
  <c r="H13" i="3"/>
  <c r="H4" i="3"/>
  <c r="G5" i="3"/>
  <c r="G6" i="3"/>
  <c r="G7" i="3"/>
  <c r="G8" i="3"/>
  <c r="G9" i="3"/>
  <c r="G10" i="3"/>
  <c r="G11" i="3"/>
  <c r="G12" i="3"/>
  <c r="G13" i="3"/>
  <c r="G4" i="3"/>
  <c r="F5" i="3"/>
  <c r="F6" i="3"/>
  <c r="F7" i="3"/>
  <c r="F8" i="3"/>
  <c r="F9" i="3"/>
  <c r="F10" i="3"/>
  <c r="F11" i="3"/>
  <c r="F12" i="3"/>
  <c r="F13" i="3"/>
  <c r="F4" i="3"/>
  <c r="E5" i="3"/>
  <c r="E6" i="3"/>
  <c r="E7" i="3"/>
  <c r="E8" i="3"/>
  <c r="E9" i="3"/>
  <c r="E10" i="3"/>
  <c r="E11" i="3"/>
  <c r="E12" i="3"/>
  <c r="E13" i="3"/>
  <c r="E4" i="3"/>
  <c r="D5" i="3"/>
  <c r="D6" i="3"/>
  <c r="D7" i="3"/>
  <c r="D8" i="3"/>
  <c r="D9" i="3"/>
  <c r="D10" i="3"/>
  <c r="D11" i="3"/>
  <c r="D12" i="3"/>
  <c r="D13" i="3"/>
  <c r="D4" i="3"/>
  <c r="C5" i="3"/>
  <c r="C6" i="3"/>
  <c r="C7" i="3"/>
  <c r="C8" i="3"/>
  <c r="C9" i="3"/>
  <c r="C10" i="3"/>
  <c r="C11" i="3"/>
  <c r="C12" i="3"/>
  <c r="C13" i="3"/>
  <c r="C4" i="3"/>
  <c r="B5" i="3"/>
  <c r="B6" i="3"/>
  <c r="B7" i="3"/>
  <c r="B8" i="3"/>
  <c r="B9" i="3"/>
  <c r="B10" i="3"/>
  <c r="B11" i="3"/>
  <c r="B12" i="3"/>
  <c r="B13" i="3"/>
  <c r="B4" i="3"/>
  <c r="D31" i="3" l="1"/>
  <c r="D26" i="3"/>
  <c r="D32" i="3"/>
  <c r="D27" i="3"/>
  <c r="D29" i="3"/>
  <c r="D33" i="3"/>
  <c r="D3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<sst xmlns="http://schemas.openxmlformats.org/spreadsheetml/2006/main" count="221" uniqueCount="69">
  <si>
    <t>Format Painter</t>
  </si>
  <si>
    <t>Bold</t>
  </si>
  <si>
    <t>Italics</t>
  </si>
  <si>
    <t>Underline</t>
  </si>
  <si>
    <t>Hello</t>
  </si>
  <si>
    <t>So Pretty</t>
  </si>
  <si>
    <t>Sorting</t>
  </si>
  <si>
    <t>Name</t>
  </si>
  <si>
    <t>Butterfree</t>
  </si>
  <si>
    <t>Kakuna</t>
  </si>
  <si>
    <t>Pikachu</t>
  </si>
  <si>
    <t>Spearow</t>
  </si>
  <si>
    <t>Weedle</t>
  </si>
  <si>
    <t>Metapod</t>
  </si>
  <si>
    <t>Rahul</t>
  </si>
  <si>
    <t>Ankit</t>
  </si>
  <si>
    <t>Vixky</t>
  </si>
  <si>
    <t>Surajit</t>
  </si>
  <si>
    <t>A to Z Sorting</t>
  </si>
  <si>
    <t>Z to A Sorting</t>
  </si>
  <si>
    <t xml:space="preserve">Attack </t>
  </si>
  <si>
    <t>Defense</t>
  </si>
  <si>
    <t>Format as Table</t>
  </si>
  <si>
    <t>Graph</t>
  </si>
  <si>
    <t>Text Functions</t>
  </si>
  <si>
    <t xml:space="preserve">Upper </t>
  </si>
  <si>
    <t>Lower</t>
  </si>
  <si>
    <t xml:space="preserve">Proper </t>
  </si>
  <si>
    <t>Left</t>
  </si>
  <si>
    <t>Right</t>
  </si>
  <si>
    <t xml:space="preserve">Middle </t>
  </si>
  <si>
    <t>Length</t>
  </si>
  <si>
    <t>Mathematical &amp; Statistical Functions</t>
  </si>
  <si>
    <t>Total</t>
  </si>
  <si>
    <t>Sum</t>
  </si>
  <si>
    <t>Minimum</t>
  </si>
  <si>
    <t>Maximum</t>
  </si>
  <si>
    <t>Count</t>
  </si>
  <si>
    <t>Std Deviation</t>
  </si>
  <si>
    <t>Average</t>
  </si>
  <si>
    <t>Median</t>
  </si>
  <si>
    <t>Mode</t>
  </si>
  <si>
    <t>IF Functions</t>
  </si>
  <si>
    <t>Charmander</t>
  </si>
  <si>
    <t>Squirtle</t>
  </si>
  <si>
    <t>Bulbasaur</t>
  </si>
  <si>
    <t>Type</t>
  </si>
  <si>
    <t>Speed</t>
  </si>
  <si>
    <t>Grass</t>
  </si>
  <si>
    <t>Fire</t>
  </si>
  <si>
    <t>Water</t>
  </si>
  <si>
    <t>Grass Type</t>
  </si>
  <si>
    <t>Speed&gt;500</t>
  </si>
  <si>
    <t>IFS Function</t>
  </si>
  <si>
    <t>Speed Category</t>
  </si>
  <si>
    <t>Multiple Arg</t>
  </si>
  <si>
    <t>Single Arg</t>
  </si>
  <si>
    <t>Fire Type and Speed&gt;65</t>
  </si>
  <si>
    <t>AND Function(Boolean Value Return)</t>
  </si>
  <si>
    <t xml:space="preserve"> AND Function with Condition</t>
  </si>
  <si>
    <t>AVERAGEIF Function</t>
  </si>
  <si>
    <t>Avg Speed</t>
  </si>
  <si>
    <t xml:space="preserve">Date </t>
  </si>
  <si>
    <t>Day</t>
  </si>
  <si>
    <t>Month</t>
  </si>
  <si>
    <t>Year</t>
  </si>
  <si>
    <t>Name of the Day</t>
  </si>
  <si>
    <t>Name of the Month</t>
  </si>
  <si>
    <t>Day of the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</si>
</sst>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Lexend"/>
    </font>
    <font>
      <sz val="10"/>
      <color theme="1"/>
      <name val="Lexend"/>
    </font>
    <font>
      <b/>
      <u val="double"/>
      <sz val="20"/>
      <color theme="1"/>
      <name val="Calibri"/>
      <family val="2"/>
      <scheme val="minor"/>
    </font>
    <font>
      <b/>
      <u val="double"/>
      <sz val="10"/>
      <color theme="1"/>
      <name val="Lexend"/>
    </font>
    <font>
      <b/>
      <u val="double"/>
      <sz val="12"/>
      <color theme="1"/>
      <name val="Lexend"/>
    </font>
    <font>
      <b/>
      <u/>
      <sz val="12"/>
      <color theme="1"/>
      <name val="Calibri"/>
      <family val="2"/>
      <scheme val="minor"/>
    </font>
    <font>
      <b/>
      <u/>
      <sz val="10"/>
      <color theme="1"/>
      <name val="Lexend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6" borderId="1" xfId="0" applyFont="1" applyFill="1" applyBorder="1"/>
    <xf numFmtId="0" fontId="8" fillId="6" borderId="3" xfId="0" applyFont="1" applyFill="1" applyBorder="1"/>
    <xf numFmtId="0" fontId="8" fillId="6" borderId="2" xfId="0" applyFont="1" applyFill="1" applyBorder="1"/>
    <xf numFmtId="0" fontId="7" fillId="5" borderId="4" xfId="0" applyFont="1" applyFill="1" applyBorder="1" applyAlignment="1">
      <alignment horizontal="center"/>
    </xf>
    <xf numFmtId="0" fontId="8" fillId="6" borderId="5" xfId="0" applyFont="1" applyFill="1" applyBorder="1"/>
    <xf numFmtId="0" fontId="2" fillId="7" borderId="2" xfId="0" applyFont="1" applyFill="1" applyBorder="1"/>
    <xf numFmtId="0" fontId="8" fillId="6" borderId="4" xfId="0" applyFont="1" applyFill="1" applyBorder="1"/>
    <xf numFmtId="0" fontId="8" fillId="6" borderId="6" xfId="0" applyFont="1" applyFill="1" applyBorder="1"/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9" fillId="0" borderId="0" xfId="0" applyFont="1"/>
    <xf numFmtId="0" fontId="0" fillId="8" borderId="0" xfId="0" applyFill="1"/>
    <xf numFmtId="0" fontId="0" fillId="8" borderId="2" xfId="0" applyFill="1" applyBorder="1"/>
    <xf numFmtId="0" fontId="0" fillId="9" borderId="2" xfId="0" applyFill="1" applyBorder="1"/>
    <xf numFmtId="0" fontId="11" fillId="10" borderId="0" xfId="0" applyFont="1" applyFill="1" applyBorder="1" applyAlignment="1">
      <alignment horizontal="center"/>
    </xf>
    <xf numFmtId="0" fontId="7" fillId="11" borderId="4" xfId="0" applyFont="1" applyFill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2" xfId="0" applyBorder="1"/>
    <xf numFmtId="0" fontId="7" fillId="6" borderId="2" xfId="0" applyFont="1" applyFill="1" applyBorder="1"/>
    <xf numFmtId="0" fontId="0" fillId="13" borderId="2" xfId="0" applyFill="1" applyBorder="1"/>
    <xf numFmtId="0" fontId="0" fillId="13" borderId="7" xfId="0" applyFill="1" applyBorder="1"/>
    <xf numFmtId="0" fontId="2" fillId="12" borderId="2" xfId="0" applyFont="1" applyFill="1" applyBorder="1"/>
    <xf numFmtId="0" fontId="7" fillId="5" borderId="2" xfId="0" applyFont="1" applyFill="1" applyBorder="1" applyAlignment="1">
      <alignment horizontal="center"/>
    </xf>
    <xf numFmtId="0" fontId="6" fillId="0" borderId="0" xfId="0" applyFont="1"/>
    <xf numFmtId="0" fontId="12" fillId="0" borderId="0" xfId="0" applyFont="1"/>
    <xf numFmtId="0" fontId="0" fillId="14" borderId="0" xfId="0" applyFill="1"/>
    <xf numFmtId="0" fontId="6" fillId="0" borderId="0" xfId="0" applyFont="1" applyAlignment="1">
      <alignment horizontal="center"/>
    </xf>
    <xf numFmtId="0" fontId="2" fillId="15" borderId="2" xfId="0" applyFont="1" applyFill="1" applyBorder="1"/>
    <xf numFmtId="0" fontId="10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8" fillId="6" borderId="7" xfId="0" applyFont="1" applyFill="1" applyBorder="1"/>
    <xf numFmtId="0" fontId="0" fillId="0" borderId="0" xfId="0" applyAlignment="1">
      <alignment wrapText="1"/>
    </xf>
    <xf numFmtId="0" fontId="2" fillId="7" borderId="2" xfId="0" applyFont="1" applyFill="1" applyBorder="1" applyAlignment="1">
      <alignment horizontal="center"/>
    </xf>
    <xf numFmtId="14" fontId="0" fillId="0" borderId="2" xfId="0" applyNumberFormat="1" applyBorder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Lexend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Pie</a:t>
            </a:r>
            <a:r>
              <a:rPr lang="en-IN" baseline="0"/>
              <a:t>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val>
            <c:numRef>
              <c:f>'Basics of Excel'!$H$16:$H$21</c:f>
              <c:numCache>
                <c:formatCode>General</c:formatCode>
                <c:ptCount val="6"/>
                <c:pt idx="0">
                  <c:v>35</c:v>
                </c:pt>
                <c:pt idx="1">
                  <c:v>55</c:v>
                </c:pt>
                <c:pt idx="2">
                  <c:v>50</c:v>
                </c:pt>
                <c:pt idx="3">
                  <c:v>75</c:v>
                </c:pt>
                <c:pt idx="4">
                  <c:v>55</c:v>
                </c:pt>
                <c:pt idx="5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9-495D-8B0B-88D62CC01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3D</a:t>
            </a:r>
            <a:r>
              <a:rPr lang="en-IN" baseline="0"/>
              <a:t> Pie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val>
            <c:numRef>
              <c:f>'Basics of Excel'!$G$16:$G$21</c:f>
              <c:numCache>
                <c:formatCode>General</c:formatCode>
                <c:ptCount val="6"/>
                <c:pt idx="0">
                  <c:v>30</c:v>
                </c:pt>
                <c:pt idx="1">
                  <c:v>20</c:v>
                </c:pt>
                <c:pt idx="2">
                  <c:v>45</c:v>
                </c:pt>
                <c:pt idx="3">
                  <c:v>80</c:v>
                </c:pt>
                <c:pt idx="4">
                  <c:v>90</c:v>
                </c:pt>
                <c:pt idx="5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8D-4187-861B-565F13290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Bar Title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Bar Title</a:t>
          </a:r>
        </a:p>
      </cx:txPr>
    </cx:title>
    <cx:plotArea>
      <cx:plotAreaRegion>
        <cx:series layoutId="waterfall" uniqueId="{6262CF21-1EBB-45B5-94F1-0FC3E7C3E392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13</xdr:row>
      <xdr:rowOff>129540</xdr:rowOff>
    </xdr:from>
    <xdr:to>
      <xdr:col>15</xdr:col>
      <xdr:colOff>83820</xdr:colOff>
      <xdr:row>24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5A3F169-3465-3DE8-BC40-A663D67883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70420" y="2506980"/>
              <a:ext cx="3733800" cy="1950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22860</xdr:colOff>
      <xdr:row>25</xdr:row>
      <xdr:rowOff>38099</xdr:rowOff>
    </xdr:from>
    <xdr:to>
      <xdr:col>15</xdr:col>
      <xdr:colOff>105508</xdr:colOff>
      <xdr:row>35</xdr:row>
      <xdr:rowOff>187568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E9A11E-D879-E470-32F7-6E2CB2874B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336451</xdr:colOff>
      <xdr:row>18</xdr:row>
      <xdr:rowOff>11723</xdr:rowOff>
    </xdr:from>
    <xdr:to>
      <xdr:col>21</xdr:col>
      <xdr:colOff>363415</xdr:colOff>
      <xdr:row>33</xdr:row>
      <xdr:rowOff>26962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86575C-C41D-68E5-A725-844F3E73F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F076F1-A707-4990-8D8A-EA755EA6F47B}" name="Table46" displayName="Table46" ref="F15:H21" totalsRowShown="0" headerRowDxfId="4" dataDxfId="3">
  <autoFilter ref="F15:H21" xr:uid="{D4F076F1-A707-4990-8D8A-EA755EA6F47B}"/>
  <tableColumns count="3">
    <tableColumn id="1" xr3:uid="{F5ECC631-C7AC-48F1-997E-8DB585EBD4AD}" name="Name" dataDxfId="2"/>
    <tableColumn id="2" xr3:uid="{BBB952AC-7192-4AF9-A404-D4CA57D3CE71}" name="Attack " dataDxfId="1"/>
    <tableColumn id="3" xr3:uid="{6DC756A0-E927-4465-B0EE-093CCE5725AB}" name="Defense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zoomScale="106" workbookViewId="0">
      <selection activeCell="A16" sqref="A16:A25"/>
    </sheetView>
  </sheetViews>
  <sheetFormatPr defaultRowHeight="14.4"/>
  <cols>
    <col min="1" max="1" width="13.5546875" bestFit="1" customWidth="1"/>
    <col min="2" max="2" width="12.33203125" bestFit="1" customWidth="1"/>
    <col min="3" max="3" width="13.5546875" customWidth="1"/>
    <col min="6" max="6" width="14.33203125" bestFit="1" customWidth="1"/>
    <col min="7" max="7" width="11.5546875" bestFit="1" customWidth="1"/>
    <col min="8" max="8" width="12.44140625" bestFit="1" customWidth="1"/>
  </cols>
  <sheetData>
    <row r="1" spans="1:10">
      <c r="A1" s="2" t="s">
        <v>0</v>
      </c>
    </row>
    <row r="2" spans="1:10">
      <c r="A2" s="3"/>
      <c r="B2" s="3"/>
    </row>
    <row r="3" spans="1:10">
      <c r="A3" s="4"/>
      <c r="B3" s="4"/>
      <c r="C3" s="4"/>
      <c r="D3" s="4"/>
    </row>
    <row r="4" spans="1:10">
      <c r="A4" s="5"/>
      <c r="B4" s="5"/>
      <c r="C4" s="5"/>
      <c r="D4" s="5"/>
      <c r="E4" s="5"/>
    </row>
    <row r="6" spans="1:10">
      <c r="A6" s="1" t="s">
        <v>1</v>
      </c>
      <c r="B6" s="9" t="s">
        <v>4</v>
      </c>
    </row>
    <row r="7" spans="1:10">
      <c r="A7" s="7" t="s">
        <v>2</v>
      </c>
      <c r="B7" s="10" t="s">
        <v>4</v>
      </c>
    </row>
    <row r="8" spans="1:10">
      <c r="A8" s="6" t="s">
        <v>3</v>
      </c>
      <c r="B8" s="11" t="s">
        <v>4</v>
      </c>
    </row>
    <row r="11" spans="1:10">
      <c r="A11" s="8" t="s">
        <v>4</v>
      </c>
      <c r="B11" s="8" t="s">
        <v>5</v>
      </c>
    </row>
    <row r="13" spans="1:10">
      <c r="A13" s="2" t="s">
        <v>6</v>
      </c>
      <c r="F13" s="2" t="s">
        <v>22</v>
      </c>
      <c r="J13" s="2" t="s">
        <v>23</v>
      </c>
    </row>
    <row r="15" spans="1:10">
      <c r="A15" s="16" t="s">
        <v>7</v>
      </c>
      <c r="B15" s="18" t="s">
        <v>18</v>
      </c>
      <c r="C15" s="18" t="s">
        <v>19</v>
      </c>
      <c r="F15" s="21" t="s">
        <v>7</v>
      </c>
      <c r="G15" s="21" t="s">
        <v>20</v>
      </c>
      <c r="H15" s="21" t="s">
        <v>21</v>
      </c>
    </row>
    <row r="16" spans="1:10">
      <c r="A16" s="13" t="s">
        <v>8</v>
      </c>
      <c r="B16" s="17" t="s">
        <v>15</v>
      </c>
      <c r="C16" s="17" t="s">
        <v>12</v>
      </c>
      <c r="F16" s="22" t="s">
        <v>8</v>
      </c>
      <c r="G16" s="22">
        <v>30</v>
      </c>
      <c r="H16" s="22">
        <v>35</v>
      </c>
    </row>
    <row r="17" spans="1:8">
      <c r="A17" s="13" t="s">
        <v>9</v>
      </c>
      <c r="B17" s="13" t="s">
        <v>8</v>
      </c>
      <c r="C17" s="13" t="s">
        <v>16</v>
      </c>
      <c r="F17" s="22" t="s">
        <v>9</v>
      </c>
      <c r="G17" s="22">
        <v>20</v>
      </c>
      <c r="H17" s="22">
        <v>55</v>
      </c>
    </row>
    <row r="18" spans="1:8">
      <c r="A18" s="13" t="s">
        <v>10</v>
      </c>
      <c r="B18" s="13" t="s">
        <v>9</v>
      </c>
      <c r="C18" s="13" t="s">
        <v>17</v>
      </c>
      <c r="F18" s="22" t="s">
        <v>10</v>
      </c>
      <c r="G18" s="22">
        <v>45</v>
      </c>
      <c r="H18" s="22">
        <v>50</v>
      </c>
    </row>
    <row r="19" spans="1:8">
      <c r="A19" s="13" t="s">
        <v>11</v>
      </c>
      <c r="B19" s="13" t="s">
        <v>13</v>
      </c>
      <c r="C19" s="13" t="s">
        <v>11</v>
      </c>
      <c r="F19" s="22" t="s">
        <v>11</v>
      </c>
      <c r="G19" s="22">
        <v>80</v>
      </c>
      <c r="H19" s="22">
        <v>75</v>
      </c>
    </row>
    <row r="20" spans="1:8">
      <c r="A20" s="13" t="s">
        <v>12</v>
      </c>
      <c r="B20" s="13" t="s">
        <v>10</v>
      </c>
      <c r="C20" s="13" t="s">
        <v>14</v>
      </c>
      <c r="F20" s="22" t="s">
        <v>12</v>
      </c>
      <c r="G20" s="22">
        <v>90</v>
      </c>
      <c r="H20" s="22">
        <v>55</v>
      </c>
    </row>
    <row r="21" spans="1:8">
      <c r="A21" s="14" t="s">
        <v>13</v>
      </c>
      <c r="B21" s="14" t="s">
        <v>14</v>
      </c>
      <c r="C21" s="14" t="s">
        <v>10</v>
      </c>
      <c r="F21" s="22" t="s">
        <v>13</v>
      </c>
      <c r="G21" s="22">
        <v>75</v>
      </c>
      <c r="H21" s="22">
        <v>85</v>
      </c>
    </row>
    <row r="22" spans="1:8">
      <c r="A22" s="15" t="s">
        <v>14</v>
      </c>
      <c r="B22" s="15" t="s">
        <v>11</v>
      </c>
      <c r="C22" s="15" t="s">
        <v>13</v>
      </c>
    </row>
    <row r="23" spans="1:8">
      <c r="A23" s="15" t="s">
        <v>15</v>
      </c>
      <c r="B23" s="15" t="s">
        <v>17</v>
      </c>
      <c r="C23" s="15" t="s">
        <v>9</v>
      </c>
    </row>
    <row r="24" spans="1:8">
      <c r="A24" s="15" t="s">
        <v>16</v>
      </c>
      <c r="B24" s="15" t="s">
        <v>16</v>
      </c>
      <c r="C24" s="15" t="s">
        <v>8</v>
      </c>
    </row>
    <row r="25" spans="1:8">
      <c r="A25" s="15" t="s">
        <v>17</v>
      </c>
      <c r="B25" s="15" t="s">
        <v>12</v>
      </c>
      <c r="C25" s="15" t="s">
        <v>15</v>
      </c>
    </row>
    <row r="27" spans="1:8">
      <c r="A27" s="21"/>
      <c r="B27" s="21"/>
      <c r="C27" s="21"/>
    </row>
    <row r="28" spans="1:8">
      <c r="A28" s="22"/>
      <c r="B28" s="22"/>
      <c r="C28" s="22"/>
    </row>
    <row r="29" spans="1:8">
      <c r="A29" s="22"/>
      <c r="B29" s="22"/>
      <c r="C29" s="22"/>
    </row>
    <row r="30" spans="1:8">
      <c r="A30" s="22"/>
      <c r="B30" s="22"/>
      <c r="C30" s="22"/>
    </row>
    <row r="31" spans="1:8">
      <c r="A31" s="22"/>
      <c r="B31" s="22"/>
      <c r="C31" s="22"/>
    </row>
    <row r="32" spans="1:8">
      <c r="A32" s="22"/>
      <c r="B32" s="22"/>
      <c r="C32" s="22"/>
    </row>
    <row r="33" spans="1:3">
      <c r="A33" s="22"/>
      <c r="B33" s="22"/>
      <c r="C33" s="22"/>
    </row>
  </sheetData>
  <sortState xmlns:xlrd2="http://schemas.microsoft.com/office/spreadsheetml/2017/richdata2" ref="C16:C25">
    <sortCondition descending="1" ref="C15:C25"/>
  </sortState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C7BE2-B30C-4A39-A316-4D1FD517B2C6}">
  <dimension ref="A1:H98"/>
  <sheetViews>
    <sheetView topLeftCell="A92" zoomScale="101" workbookViewId="0">
      <selection activeCell="E86" sqref="E86"/>
    </sheetView>
  </sheetViews>
  <sheetFormatPr defaultRowHeight="14.4"/>
  <cols>
    <col min="1" max="1" width="12.33203125" customWidth="1"/>
    <col min="2" max="2" width="11.5546875" bestFit="1" customWidth="1"/>
    <col min="4" max="4" width="22.33203125" bestFit="1" customWidth="1"/>
    <col min="5" max="5" width="11.33203125" customWidth="1"/>
    <col min="6" max="6" width="10.33203125" bestFit="1" customWidth="1"/>
  </cols>
  <sheetData>
    <row r="1" spans="1:8" ht="25.8">
      <c r="A1" s="23" t="s">
        <v>24</v>
      </c>
    </row>
    <row r="3" spans="1:8">
      <c r="A3" s="25" t="s">
        <v>7</v>
      </c>
      <c r="B3" s="25" t="s">
        <v>25</v>
      </c>
      <c r="C3" s="25" t="s">
        <v>26</v>
      </c>
      <c r="D3" s="25" t="s">
        <v>27</v>
      </c>
      <c r="E3" s="25" t="s">
        <v>28</v>
      </c>
      <c r="F3" s="25" t="s">
        <v>29</v>
      </c>
      <c r="G3" s="25" t="s">
        <v>30</v>
      </c>
      <c r="H3" s="25" t="s">
        <v>31</v>
      </c>
    </row>
    <row r="4" spans="1:8">
      <c r="A4" s="15" t="s">
        <v>8</v>
      </c>
      <c r="B4" s="26" t="str">
        <f>UPPER(A4)</f>
        <v>BUTTERFREE</v>
      </c>
      <c r="C4" s="26" t="str">
        <f>LOWER(A4)</f>
        <v>butterfree</v>
      </c>
      <c r="D4" s="26" t="str">
        <f>PROPER(A4)</f>
        <v>Butterfree</v>
      </c>
      <c r="E4" s="26" t="str">
        <f>LEFT(A4,3)</f>
        <v>But</v>
      </c>
      <c r="F4" s="26" t="str">
        <f>RIGHT(A4,4)</f>
        <v>free</v>
      </c>
      <c r="G4" s="26" t="str">
        <f>MID(A4,2,6)</f>
        <v>utterf</v>
      </c>
      <c r="H4" s="26">
        <f>LEN(A4)</f>
        <v>10</v>
      </c>
    </row>
    <row r="5" spans="1:8">
      <c r="A5" s="15" t="s">
        <v>9</v>
      </c>
      <c r="B5" s="26" t="str">
        <f t="shared" ref="B5:B13" si="0">UPPER(A5)</f>
        <v>KAKUNA</v>
      </c>
      <c r="C5" s="26" t="str">
        <f t="shared" ref="C5:C13" si="1">LOWER(A5)</f>
        <v>kakuna</v>
      </c>
      <c r="D5" s="26" t="str">
        <f t="shared" ref="D5:D13" si="2">PROPER(A5)</f>
        <v>Kakuna</v>
      </c>
      <c r="E5" s="26" t="str">
        <f t="shared" ref="E5:E13" si="3">LEFT(A5,3)</f>
        <v>Kak</v>
      </c>
      <c r="F5" s="26" t="str">
        <f t="shared" ref="F5:F13" si="4">RIGHT(A5,4)</f>
        <v>kuna</v>
      </c>
      <c r="G5" s="26" t="str">
        <f t="shared" ref="G5:G13" si="5">MID(A5,2,6)</f>
        <v>akuna</v>
      </c>
      <c r="H5" s="26">
        <f t="shared" ref="H5:H13" si="6">LEN(A5)</f>
        <v>6</v>
      </c>
    </row>
    <row r="6" spans="1:8">
      <c r="A6" s="15" t="s">
        <v>10</v>
      </c>
      <c r="B6" s="26" t="str">
        <f t="shared" si="0"/>
        <v>PIKACHU</v>
      </c>
      <c r="C6" s="26" t="str">
        <f t="shared" si="1"/>
        <v>pikachu</v>
      </c>
      <c r="D6" s="26" t="str">
        <f t="shared" si="2"/>
        <v>Pikachu</v>
      </c>
      <c r="E6" s="26" t="str">
        <f t="shared" si="3"/>
        <v>Pik</v>
      </c>
      <c r="F6" s="26" t="str">
        <f t="shared" si="4"/>
        <v>achu</v>
      </c>
      <c r="G6" s="26" t="str">
        <f t="shared" si="5"/>
        <v>ikachu</v>
      </c>
      <c r="H6" s="26">
        <f t="shared" si="6"/>
        <v>7</v>
      </c>
    </row>
    <row r="7" spans="1:8">
      <c r="A7" s="15" t="s">
        <v>11</v>
      </c>
      <c r="B7" s="26" t="str">
        <f t="shared" si="0"/>
        <v>SPEAROW</v>
      </c>
      <c r="C7" s="26" t="str">
        <f t="shared" si="1"/>
        <v>spearow</v>
      </c>
      <c r="D7" s="26" t="str">
        <f t="shared" si="2"/>
        <v>Spearow</v>
      </c>
      <c r="E7" s="26" t="str">
        <f t="shared" si="3"/>
        <v>Spe</v>
      </c>
      <c r="F7" s="26" t="str">
        <f t="shared" si="4"/>
        <v>arow</v>
      </c>
      <c r="G7" s="26" t="str">
        <f t="shared" si="5"/>
        <v>pearow</v>
      </c>
      <c r="H7" s="26">
        <f t="shared" si="6"/>
        <v>7</v>
      </c>
    </row>
    <row r="8" spans="1:8">
      <c r="A8" s="15" t="s">
        <v>12</v>
      </c>
      <c r="B8" s="26" t="str">
        <f t="shared" si="0"/>
        <v>WEEDLE</v>
      </c>
      <c r="C8" s="26" t="str">
        <f t="shared" si="1"/>
        <v>weedle</v>
      </c>
      <c r="D8" s="26" t="str">
        <f t="shared" si="2"/>
        <v>Weedle</v>
      </c>
      <c r="E8" s="26" t="str">
        <f t="shared" si="3"/>
        <v>Wee</v>
      </c>
      <c r="F8" s="26" t="str">
        <f t="shared" si="4"/>
        <v>edle</v>
      </c>
      <c r="G8" s="26" t="str">
        <f t="shared" si="5"/>
        <v>eedle</v>
      </c>
      <c r="H8" s="26">
        <f t="shared" si="6"/>
        <v>6</v>
      </c>
    </row>
    <row r="9" spans="1:8">
      <c r="A9" s="15" t="s">
        <v>13</v>
      </c>
      <c r="B9" s="26" t="str">
        <f t="shared" si="0"/>
        <v>METAPOD</v>
      </c>
      <c r="C9" s="26" t="str">
        <f t="shared" si="1"/>
        <v>metapod</v>
      </c>
      <c r="D9" s="26" t="str">
        <f t="shared" si="2"/>
        <v>Metapod</v>
      </c>
      <c r="E9" s="26" t="str">
        <f t="shared" si="3"/>
        <v>Met</v>
      </c>
      <c r="F9" s="26" t="str">
        <f t="shared" si="4"/>
        <v>apod</v>
      </c>
      <c r="G9" s="26" t="str">
        <f t="shared" si="5"/>
        <v>etapod</v>
      </c>
      <c r="H9" s="26">
        <f t="shared" si="6"/>
        <v>7</v>
      </c>
    </row>
    <row r="10" spans="1:8">
      <c r="A10" s="15" t="s">
        <v>14</v>
      </c>
      <c r="B10" s="26" t="str">
        <f t="shared" si="0"/>
        <v>RAHUL</v>
      </c>
      <c r="C10" s="26" t="str">
        <f t="shared" si="1"/>
        <v>rahul</v>
      </c>
      <c r="D10" s="26" t="str">
        <f t="shared" si="2"/>
        <v>Rahul</v>
      </c>
      <c r="E10" s="26" t="str">
        <f t="shared" si="3"/>
        <v>Rah</v>
      </c>
      <c r="F10" s="26" t="str">
        <f t="shared" si="4"/>
        <v>ahul</v>
      </c>
      <c r="G10" s="26" t="str">
        <f t="shared" si="5"/>
        <v>ahul</v>
      </c>
      <c r="H10" s="26">
        <f t="shared" si="6"/>
        <v>5</v>
      </c>
    </row>
    <row r="11" spans="1:8">
      <c r="A11" s="15" t="s">
        <v>15</v>
      </c>
      <c r="B11" s="26" t="str">
        <f t="shared" si="0"/>
        <v>ANKIT</v>
      </c>
      <c r="C11" s="26" t="str">
        <f t="shared" si="1"/>
        <v>ankit</v>
      </c>
      <c r="D11" s="26" t="str">
        <f t="shared" si="2"/>
        <v>Ankit</v>
      </c>
      <c r="E11" s="26" t="str">
        <f t="shared" si="3"/>
        <v>Ank</v>
      </c>
      <c r="F11" s="26" t="str">
        <f t="shared" si="4"/>
        <v>nkit</v>
      </c>
      <c r="G11" s="26" t="str">
        <f t="shared" si="5"/>
        <v>nkit</v>
      </c>
      <c r="H11" s="26">
        <f t="shared" si="6"/>
        <v>5</v>
      </c>
    </row>
    <row r="12" spans="1:8">
      <c r="A12" s="15" t="s">
        <v>16</v>
      </c>
      <c r="B12" s="26" t="str">
        <f t="shared" si="0"/>
        <v>VIXKY</v>
      </c>
      <c r="C12" s="26" t="str">
        <f t="shared" si="1"/>
        <v>vixky</v>
      </c>
      <c r="D12" s="26" t="str">
        <f t="shared" si="2"/>
        <v>Vixky</v>
      </c>
      <c r="E12" s="26" t="str">
        <f t="shared" si="3"/>
        <v>Vix</v>
      </c>
      <c r="F12" s="26" t="str">
        <f t="shared" si="4"/>
        <v>ixky</v>
      </c>
      <c r="G12" s="26" t="str">
        <f t="shared" si="5"/>
        <v>ixky</v>
      </c>
      <c r="H12" s="26">
        <f t="shared" si="6"/>
        <v>5</v>
      </c>
    </row>
    <row r="13" spans="1:8">
      <c r="A13" s="15" t="s">
        <v>17</v>
      </c>
      <c r="B13" s="26" t="str">
        <f t="shared" si="0"/>
        <v>SURAJIT</v>
      </c>
      <c r="C13" s="26" t="str">
        <f t="shared" si="1"/>
        <v>surajit</v>
      </c>
      <c r="D13" s="26" t="str">
        <f t="shared" si="2"/>
        <v>Surajit</v>
      </c>
      <c r="E13" s="26" t="str">
        <f t="shared" si="3"/>
        <v>Sur</v>
      </c>
      <c r="F13" s="26" t="str">
        <f t="shared" si="4"/>
        <v>ajit</v>
      </c>
      <c r="G13" s="26" t="str">
        <f t="shared" si="5"/>
        <v>urajit</v>
      </c>
      <c r="H13" s="26">
        <f t="shared" si="6"/>
        <v>7</v>
      </c>
    </row>
    <row r="16" spans="1:8" ht="15.6">
      <c r="A16" s="27" t="s">
        <v>32</v>
      </c>
      <c r="B16" s="27"/>
      <c r="C16" s="27"/>
      <c r="D16" s="27"/>
    </row>
    <row r="18" spans="1:6">
      <c r="A18" s="12" t="s">
        <v>7</v>
      </c>
      <c r="B18" s="12" t="s">
        <v>20</v>
      </c>
      <c r="C18" s="12" t="s">
        <v>21</v>
      </c>
      <c r="D18" s="28" t="s">
        <v>33</v>
      </c>
      <c r="E18" s="21"/>
      <c r="F18" s="30"/>
    </row>
    <row r="19" spans="1:6">
      <c r="A19" s="13" t="s">
        <v>8</v>
      </c>
      <c r="B19" s="13">
        <v>30</v>
      </c>
      <c r="C19" s="13">
        <v>35</v>
      </c>
      <c r="D19" s="19">
        <f t="shared" ref="D19:D24" si="7">B19+C19</f>
        <v>65</v>
      </c>
      <c r="E19" s="30"/>
      <c r="F19" s="30"/>
    </row>
    <row r="20" spans="1:6">
      <c r="A20" s="13" t="s">
        <v>9</v>
      </c>
      <c r="B20" s="13">
        <v>20</v>
      </c>
      <c r="C20" s="13">
        <v>55</v>
      </c>
      <c r="D20" s="19">
        <f t="shared" si="7"/>
        <v>75</v>
      </c>
      <c r="E20" s="22"/>
      <c r="F20" s="30"/>
    </row>
    <row r="21" spans="1:6">
      <c r="A21" s="13" t="s">
        <v>10</v>
      </c>
      <c r="B21" s="13">
        <v>45</v>
      </c>
      <c r="C21" s="13">
        <v>50</v>
      </c>
      <c r="D21" s="19">
        <f t="shared" si="7"/>
        <v>95</v>
      </c>
      <c r="E21" s="22"/>
      <c r="F21" s="30"/>
    </row>
    <row r="22" spans="1:6">
      <c r="A22" s="13" t="s">
        <v>11</v>
      </c>
      <c r="B22" s="13">
        <v>80</v>
      </c>
      <c r="C22" s="13">
        <v>75</v>
      </c>
      <c r="D22" s="19">
        <f t="shared" si="7"/>
        <v>155</v>
      </c>
      <c r="E22" s="22"/>
      <c r="F22" s="30"/>
    </row>
    <row r="23" spans="1:6">
      <c r="A23" s="13" t="s">
        <v>12</v>
      </c>
      <c r="B23" s="13">
        <v>90</v>
      </c>
      <c r="C23" s="13">
        <v>55</v>
      </c>
      <c r="D23" s="19">
        <f t="shared" si="7"/>
        <v>145</v>
      </c>
      <c r="E23" s="22"/>
      <c r="F23" s="30"/>
    </row>
    <row r="24" spans="1:6">
      <c r="A24" s="13" t="s">
        <v>13</v>
      </c>
      <c r="B24" s="13">
        <v>75</v>
      </c>
      <c r="C24" s="13">
        <v>85</v>
      </c>
      <c r="D24" s="19">
        <f t="shared" si="7"/>
        <v>160</v>
      </c>
      <c r="E24" s="22"/>
      <c r="F24" s="22"/>
    </row>
    <row r="25" spans="1:6">
      <c r="E25" s="30"/>
      <c r="F25" s="30"/>
    </row>
    <row r="26" spans="1:6">
      <c r="A26" s="32" t="s">
        <v>34</v>
      </c>
      <c r="B26" s="31">
        <f>SUM(B19:B24)</f>
        <v>340</v>
      </c>
      <c r="C26" s="31">
        <f t="shared" ref="C26:D26" si="8">SUM(C19:C24)</f>
        <v>355</v>
      </c>
      <c r="D26" s="31">
        <f t="shared" si="8"/>
        <v>695</v>
      </c>
    </row>
    <row r="27" spans="1:6">
      <c r="A27" s="32" t="s">
        <v>35</v>
      </c>
      <c r="B27" s="31">
        <f>MIN(B19:B24)</f>
        <v>20</v>
      </c>
      <c r="C27" s="31">
        <f t="shared" ref="C27:D27" si="9">MIN(C19:C24)</f>
        <v>35</v>
      </c>
      <c r="D27" s="31">
        <f t="shared" si="9"/>
        <v>65</v>
      </c>
    </row>
    <row r="28" spans="1:6">
      <c r="A28" s="32" t="s">
        <v>36</v>
      </c>
      <c r="B28" s="31">
        <f>MAX(B19:B24)</f>
        <v>90</v>
      </c>
      <c r="C28" s="31">
        <f t="shared" ref="C28:D28" si="10">MAX(C19:C24)</f>
        <v>85</v>
      </c>
      <c r="D28" s="31">
        <f t="shared" si="10"/>
        <v>160</v>
      </c>
    </row>
    <row r="29" spans="1:6">
      <c r="A29" s="32" t="s">
        <v>37</v>
      </c>
      <c r="B29" s="31">
        <f>COUNT(B19:B24)</f>
        <v>6</v>
      </c>
      <c r="C29" s="31">
        <f t="shared" ref="C29:D29" si="11">COUNT(C19:C24)</f>
        <v>6</v>
      </c>
      <c r="D29" s="31">
        <f t="shared" si="11"/>
        <v>6</v>
      </c>
    </row>
    <row r="30" spans="1:6">
      <c r="A30" s="32" t="s">
        <v>38</v>
      </c>
      <c r="B30" s="31">
        <f>STDEV(B19:B24)</f>
        <v>28.925190866555511</v>
      </c>
      <c r="C30" s="31">
        <f t="shared" ref="C30:D30" si="12">STDEV(C19:C24)</f>
        <v>18.004629034408524</v>
      </c>
      <c r="D30" s="31">
        <f t="shared" si="12"/>
        <v>42.475483124582183</v>
      </c>
    </row>
    <row r="31" spans="1:6">
      <c r="A31" s="32" t="s">
        <v>39</v>
      </c>
      <c r="B31" s="31">
        <f>AVERAGE(B19:B24)</f>
        <v>56.666666666666664</v>
      </c>
      <c r="C31" s="31">
        <f t="shared" ref="C31:D31" si="13">AVERAGE(C19:C24)</f>
        <v>59.166666666666664</v>
      </c>
      <c r="D31" s="31">
        <f t="shared" si="13"/>
        <v>115.83333333333333</v>
      </c>
    </row>
    <row r="32" spans="1:6">
      <c r="A32" s="32" t="s">
        <v>40</v>
      </c>
      <c r="B32" s="31">
        <f>MEDIAN(B19:B24)</f>
        <v>60</v>
      </c>
      <c r="C32" s="31">
        <f t="shared" ref="C32:D32" si="14">MEDIAN(C19:C24)</f>
        <v>55</v>
      </c>
      <c r="D32" s="31">
        <f t="shared" si="14"/>
        <v>120</v>
      </c>
    </row>
    <row r="33" spans="1:5">
      <c r="A33" s="32" t="s">
        <v>41</v>
      </c>
      <c r="B33" s="31" t="e">
        <f>MODE(B19:B24)</f>
        <v>#N/A</v>
      </c>
      <c r="C33" s="31">
        <f t="shared" ref="C33:D33" si="15">MODE(C19:C24)</f>
        <v>55</v>
      </c>
      <c r="D33" s="31" t="e">
        <f t="shared" si="15"/>
        <v>#N/A</v>
      </c>
    </row>
    <row r="35" spans="1:5" ht="15.6">
      <c r="A35" s="38" t="s">
        <v>42</v>
      </c>
    </row>
    <row r="37" spans="1:5">
      <c r="A37" s="12" t="s">
        <v>7</v>
      </c>
      <c r="B37" s="12" t="s">
        <v>46</v>
      </c>
      <c r="C37" s="16" t="s">
        <v>47</v>
      </c>
      <c r="D37" s="35" t="s">
        <v>51</v>
      </c>
      <c r="E37" s="36" t="s">
        <v>52</v>
      </c>
    </row>
    <row r="38" spans="1:5">
      <c r="A38" s="13" t="s">
        <v>8</v>
      </c>
      <c r="B38" s="13" t="s">
        <v>48</v>
      </c>
      <c r="C38" s="19">
        <v>318</v>
      </c>
      <c r="D38" s="31" t="str">
        <f>IF(B38="Grass","Yes","No")</f>
        <v>Yes</v>
      </c>
      <c r="E38" s="31" t="str">
        <f>IF(C37&gt;500,"Yes","No")</f>
        <v>Yes</v>
      </c>
    </row>
    <row r="39" spans="1:5">
      <c r="A39" s="13" t="s">
        <v>9</v>
      </c>
      <c r="B39" s="13" t="s">
        <v>48</v>
      </c>
      <c r="C39" s="19">
        <v>405</v>
      </c>
      <c r="D39" s="31" t="str">
        <f t="shared" ref="D39:D46" si="16">IF(B39="Grass","Yes","No")</f>
        <v>Yes</v>
      </c>
      <c r="E39" s="31" t="str">
        <f t="shared" ref="E39:E46" si="17">IF(C38&gt;500,"Yes","No")</f>
        <v>No</v>
      </c>
    </row>
    <row r="40" spans="1:5">
      <c r="A40" s="13" t="s">
        <v>10</v>
      </c>
      <c r="B40" s="13" t="s">
        <v>48</v>
      </c>
      <c r="C40" s="19">
        <v>525</v>
      </c>
      <c r="D40" s="31" t="str">
        <f t="shared" si="16"/>
        <v>Yes</v>
      </c>
      <c r="E40" s="31" t="str">
        <f t="shared" si="17"/>
        <v>No</v>
      </c>
    </row>
    <row r="41" spans="1:5">
      <c r="A41" s="13" t="s">
        <v>11</v>
      </c>
      <c r="B41" s="13" t="s">
        <v>49</v>
      </c>
      <c r="C41" s="19">
        <v>309</v>
      </c>
      <c r="D41" s="31" t="str">
        <f t="shared" si="16"/>
        <v>No</v>
      </c>
      <c r="E41" s="31" t="str">
        <f t="shared" si="17"/>
        <v>Yes</v>
      </c>
    </row>
    <row r="42" spans="1:5">
      <c r="A42" s="13" t="s">
        <v>12</v>
      </c>
      <c r="B42" s="13" t="s">
        <v>49</v>
      </c>
      <c r="C42" s="19">
        <v>405</v>
      </c>
      <c r="D42" s="31" t="str">
        <f t="shared" si="16"/>
        <v>No</v>
      </c>
      <c r="E42" s="31" t="str">
        <f t="shared" si="17"/>
        <v>No</v>
      </c>
    </row>
    <row r="43" spans="1:5">
      <c r="A43" s="14" t="s">
        <v>13</v>
      </c>
      <c r="B43" s="14" t="s">
        <v>49</v>
      </c>
      <c r="C43" s="20">
        <v>530</v>
      </c>
      <c r="D43" s="31" t="str">
        <f t="shared" si="16"/>
        <v>No</v>
      </c>
      <c r="E43" s="31" t="str">
        <f t="shared" si="17"/>
        <v>No</v>
      </c>
    </row>
    <row r="44" spans="1:5">
      <c r="A44" s="15" t="s">
        <v>43</v>
      </c>
      <c r="B44" s="15" t="s">
        <v>50</v>
      </c>
      <c r="C44" s="34">
        <v>100</v>
      </c>
      <c r="D44" s="31" t="str">
        <f t="shared" si="16"/>
        <v>No</v>
      </c>
      <c r="E44" s="31" t="str">
        <f t="shared" si="17"/>
        <v>Yes</v>
      </c>
    </row>
    <row r="45" spans="1:5">
      <c r="A45" s="15" t="s">
        <v>44</v>
      </c>
      <c r="B45" s="15" t="s">
        <v>50</v>
      </c>
      <c r="C45" s="34">
        <v>280</v>
      </c>
      <c r="D45" s="31" t="str">
        <f t="shared" si="16"/>
        <v>No</v>
      </c>
      <c r="E45" s="31" t="str">
        <f t="shared" si="17"/>
        <v>No</v>
      </c>
    </row>
    <row r="46" spans="1:5">
      <c r="A46" s="15" t="s">
        <v>45</v>
      </c>
      <c r="B46" s="15" t="s">
        <v>50</v>
      </c>
      <c r="C46" s="34">
        <v>318</v>
      </c>
      <c r="D46" s="31" t="str">
        <f t="shared" si="16"/>
        <v>No</v>
      </c>
      <c r="E46" s="31" t="str">
        <f t="shared" si="17"/>
        <v>No</v>
      </c>
    </row>
    <row r="48" spans="1:5">
      <c r="A48" s="37" t="s">
        <v>53</v>
      </c>
    </row>
    <row r="50" spans="1:5">
      <c r="A50" s="12" t="s">
        <v>7</v>
      </c>
      <c r="B50" s="12" t="s">
        <v>46</v>
      </c>
      <c r="C50" s="16" t="s">
        <v>47</v>
      </c>
      <c r="D50" s="41" t="s">
        <v>54</v>
      </c>
    </row>
    <row r="51" spans="1:5">
      <c r="A51" s="13" t="s">
        <v>8</v>
      </c>
      <c r="B51" s="13" t="s">
        <v>48</v>
      </c>
      <c r="C51" s="19">
        <v>45</v>
      </c>
      <c r="D51" s="31" t="str" cm="1">
        <f t="array" ref="D51">_xlfn.IFS(C51&gt;90,"Fast",C51&gt;50,"Normal",C51&lt;50,"Slow")</f>
        <v>Slow</v>
      </c>
      <c r="E51" s="39" t="s">
        <v>56</v>
      </c>
    </row>
    <row r="52" spans="1:5">
      <c r="A52" s="13" t="s">
        <v>9</v>
      </c>
      <c r="B52" s="13" t="s">
        <v>48</v>
      </c>
      <c r="C52" s="19">
        <v>60</v>
      </c>
      <c r="D52" s="31" t="str">
        <f>IF(C52&gt;90,"Fast",IF(C52&gt;50,"Normal",IF(C52&lt;50,"Slow")))</f>
        <v>Normal</v>
      </c>
      <c r="E52" s="24" t="s">
        <v>55</v>
      </c>
    </row>
    <row r="53" spans="1:5">
      <c r="A53" s="13" t="s">
        <v>10</v>
      </c>
      <c r="B53" s="13" t="s">
        <v>48</v>
      </c>
      <c r="C53" s="19">
        <v>80</v>
      </c>
      <c r="D53" s="31" t="str">
        <f t="shared" ref="D53:D59" si="18">IF(C53&gt;90,"Fast",IF(C53&gt;50,"Normal",IF(C53&lt;50,"Slow")))</f>
        <v>Normal</v>
      </c>
    </row>
    <row r="54" spans="1:5">
      <c r="A54" s="13" t="s">
        <v>11</v>
      </c>
      <c r="B54" s="13" t="s">
        <v>49</v>
      </c>
      <c r="C54" s="19">
        <v>65</v>
      </c>
      <c r="D54" s="31" t="str">
        <f t="shared" si="18"/>
        <v>Normal</v>
      </c>
    </row>
    <row r="55" spans="1:5">
      <c r="A55" s="13" t="s">
        <v>12</v>
      </c>
      <c r="B55" s="13" t="s">
        <v>49</v>
      </c>
      <c r="C55" s="19">
        <v>100</v>
      </c>
      <c r="D55" s="31" t="str">
        <f t="shared" si="18"/>
        <v>Fast</v>
      </c>
    </row>
    <row r="56" spans="1:5">
      <c r="A56" s="14" t="s">
        <v>13</v>
      </c>
      <c r="B56" s="14" t="s">
        <v>49</v>
      </c>
      <c r="C56" s="20">
        <v>80</v>
      </c>
      <c r="D56" s="31" t="str">
        <f t="shared" si="18"/>
        <v>Normal</v>
      </c>
    </row>
    <row r="57" spans="1:5">
      <c r="A57" s="15" t="s">
        <v>43</v>
      </c>
      <c r="B57" s="15" t="s">
        <v>50</v>
      </c>
      <c r="C57" s="34">
        <v>43</v>
      </c>
      <c r="D57" s="31" t="str">
        <f t="shared" si="18"/>
        <v>Slow</v>
      </c>
    </row>
    <row r="58" spans="1:5">
      <c r="A58" s="15" t="s">
        <v>44</v>
      </c>
      <c r="B58" s="15" t="s">
        <v>50</v>
      </c>
      <c r="C58" s="34">
        <v>58</v>
      </c>
      <c r="D58" s="31" t="str">
        <f t="shared" si="18"/>
        <v>Normal</v>
      </c>
    </row>
    <row r="59" spans="1:5">
      <c r="A59" s="15" t="s">
        <v>45</v>
      </c>
      <c r="B59" s="15" t="s">
        <v>50</v>
      </c>
      <c r="C59" s="34">
        <v>75</v>
      </c>
      <c r="D59" s="31" t="str">
        <f t="shared" si="18"/>
        <v>Normal</v>
      </c>
    </row>
    <row r="61" spans="1:5">
      <c r="A61" s="40" t="s">
        <v>58</v>
      </c>
      <c r="B61" s="40"/>
      <c r="C61" s="40"/>
    </row>
    <row r="62" spans="1:5" ht="15.6" customHeight="1"/>
    <row r="63" spans="1:5">
      <c r="A63" s="12" t="s">
        <v>7</v>
      </c>
      <c r="B63" s="12" t="s">
        <v>46</v>
      </c>
      <c r="C63" s="16" t="s">
        <v>47</v>
      </c>
      <c r="D63" s="36" t="s">
        <v>57</v>
      </c>
    </row>
    <row r="64" spans="1:5">
      <c r="A64" s="13" t="s">
        <v>8</v>
      </c>
      <c r="B64" s="13" t="s">
        <v>48</v>
      </c>
      <c r="C64" s="19">
        <v>45</v>
      </c>
      <c r="D64" s="31" t="b">
        <f>AND(B64="Fire",C64&gt;65)</f>
        <v>0</v>
      </c>
    </row>
    <row r="65" spans="1:4">
      <c r="A65" s="13" t="s">
        <v>9</v>
      </c>
      <c r="B65" s="13" t="s">
        <v>48</v>
      </c>
      <c r="C65" s="19">
        <v>60</v>
      </c>
      <c r="D65" s="31" t="b">
        <f t="shared" ref="D65:D72" si="19">AND(B65="Fire",C65&gt;65)</f>
        <v>0</v>
      </c>
    </row>
    <row r="66" spans="1:4">
      <c r="A66" s="13" t="s">
        <v>10</v>
      </c>
      <c r="B66" s="13" t="s">
        <v>48</v>
      </c>
      <c r="C66" s="19">
        <v>80</v>
      </c>
      <c r="D66" s="31" t="b">
        <f t="shared" si="19"/>
        <v>0</v>
      </c>
    </row>
    <row r="67" spans="1:4">
      <c r="A67" s="13" t="s">
        <v>11</v>
      </c>
      <c r="B67" s="13" t="s">
        <v>49</v>
      </c>
      <c r="C67" s="19">
        <v>65</v>
      </c>
      <c r="D67" s="31" t="b">
        <f t="shared" si="19"/>
        <v>0</v>
      </c>
    </row>
    <row r="68" spans="1:4">
      <c r="A68" s="13" t="s">
        <v>12</v>
      </c>
      <c r="B68" s="13" t="s">
        <v>49</v>
      </c>
      <c r="C68" s="19">
        <v>100</v>
      </c>
      <c r="D68" s="31" t="b">
        <f t="shared" si="19"/>
        <v>1</v>
      </c>
    </row>
    <row r="69" spans="1:4">
      <c r="A69" s="14" t="s">
        <v>13</v>
      </c>
      <c r="B69" s="14" t="s">
        <v>49</v>
      </c>
      <c r="C69" s="20">
        <v>80</v>
      </c>
      <c r="D69" s="31" t="b">
        <f t="shared" si="19"/>
        <v>1</v>
      </c>
    </row>
    <row r="70" spans="1:4">
      <c r="A70" s="15" t="s">
        <v>43</v>
      </c>
      <c r="B70" s="15" t="s">
        <v>50</v>
      </c>
      <c r="C70" s="34">
        <v>43</v>
      </c>
      <c r="D70" s="31" t="b">
        <f t="shared" si="19"/>
        <v>0</v>
      </c>
    </row>
    <row r="71" spans="1:4">
      <c r="A71" s="15" t="s">
        <v>44</v>
      </c>
      <c r="B71" s="15" t="s">
        <v>50</v>
      </c>
      <c r="C71" s="34">
        <v>58</v>
      </c>
      <c r="D71" s="31" t="b">
        <f t="shared" si="19"/>
        <v>0</v>
      </c>
    </row>
    <row r="72" spans="1:4">
      <c r="A72" s="15" t="s">
        <v>45</v>
      </c>
      <c r="B72" s="15" t="s">
        <v>50</v>
      </c>
      <c r="C72" s="34">
        <v>75</v>
      </c>
      <c r="D72" s="31" t="b">
        <f t="shared" si="19"/>
        <v>0</v>
      </c>
    </row>
    <row r="74" spans="1:4">
      <c r="A74" s="42" t="s">
        <v>59</v>
      </c>
      <c r="B74" s="42"/>
      <c r="C74" s="42"/>
    </row>
    <row r="76" spans="1:4">
      <c r="A76" s="12" t="s">
        <v>7</v>
      </c>
      <c r="B76" s="12" t="s">
        <v>46</v>
      </c>
      <c r="C76" s="16" t="s">
        <v>47</v>
      </c>
      <c r="D76" s="36" t="s">
        <v>57</v>
      </c>
    </row>
    <row r="77" spans="1:4">
      <c r="A77" s="13" t="s">
        <v>8</v>
      </c>
      <c r="B77" s="13" t="s">
        <v>48</v>
      </c>
      <c r="C77" s="19">
        <v>45</v>
      </c>
      <c r="D77" s="31" t="str">
        <f>IF(AND(B77="Fire",C77&gt;65),"Yes","No")</f>
        <v>No</v>
      </c>
    </row>
    <row r="78" spans="1:4">
      <c r="A78" s="13" t="s">
        <v>9</v>
      </c>
      <c r="B78" s="13" t="s">
        <v>48</v>
      </c>
      <c r="C78" s="19">
        <v>60</v>
      </c>
      <c r="D78" s="31" t="str">
        <f t="shared" ref="D78:D85" si="20">IF(AND(B78="Fire",C78&gt;65),"Yes","No")</f>
        <v>No</v>
      </c>
    </row>
    <row r="79" spans="1:4">
      <c r="A79" s="13" t="s">
        <v>10</v>
      </c>
      <c r="B79" s="13" t="s">
        <v>48</v>
      </c>
      <c r="C79" s="19">
        <v>80</v>
      </c>
      <c r="D79" s="31" t="str">
        <f t="shared" si="20"/>
        <v>No</v>
      </c>
    </row>
    <row r="80" spans="1:4">
      <c r="A80" s="13" t="s">
        <v>11</v>
      </c>
      <c r="B80" s="13" t="s">
        <v>49</v>
      </c>
      <c r="C80" s="19">
        <v>65</v>
      </c>
      <c r="D80" s="31" t="str">
        <f t="shared" si="20"/>
        <v>No</v>
      </c>
    </row>
    <row r="81" spans="1:6">
      <c r="A81" s="13" t="s">
        <v>12</v>
      </c>
      <c r="B81" s="13" t="s">
        <v>49</v>
      </c>
      <c r="C81" s="19">
        <v>100</v>
      </c>
      <c r="D81" s="31" t="str">
        <f t="shared" si="20"/>
        <v>Yes</v>
      </c>
    </row>
    <row r="82" spans="1:6">
      <c r="A82" s="14" t="s">
        <v>13</v>
      </c>
      <c r="B82" s="14" t="s">
        <v>49</v>
      </c>
      <c r="C82" s="20">
        <v>80</v>
      </c>
      <c r="D82" s="31" t="str">
        <f t="shared" si="20"/>
        <v>Yes</v>
      </c>
    </row>
    <row r="83" spans="1:6">
      <c r="A83" s="15" t="s">
        <v>43</v>
      </c>
      <c r="B83" s="15" t="s">
        <v>50</v>
      </c>
      <c r="C83" s="34">
        <v>43</v>
      </c>
      <c r="D83" s="31" t="str">
        <f t="shared" si="20"/>
        <v>No</v>
      </c>
    </row>
    <row r="84" spans="1:6">
      <c r="A84" s="15" t="s">
        <v>44</v>
      </c>
      <c r="B84" s="15" t="s">
        <v>50</v>
      </c>
      <c r="C84" s="34">
        <v>58</v>
      </c>
      <c r="D84" s="31" t="str">
        <f t="shared" si="20"/>
        <v>No</v>
      </c>
    </row>
    <row r="85" spans="1:6">
      <c r="A85" s="15" t="s">
        <v>45</v>
      </c>
      <c r="B85" s="15" t="s">
        <v>50</v>
      </c>
      <c r="C85" s="34">
        <v>75</v>
      </c>
      <c r="D85" s="31" t="str">
        <f t="shared" si="20"/>
        <v>No</v>
      </c>
    </row>
    <row r="87" spans="1:6">
      <c r="A87" s="43" t="s">
        <v>60</v>
      </c>
      <c r="B87" s="42"/>
      <c r="C87" s="42"/>
    </row>
    <row r="89" spans="1:6">
      <c r="A89" s="12" t="s">
        <v>7</v>
      </c>
      <c r="B89" s="16" t="s">
        <v>46</v>
      </c>
      <c r="C89" s="36" t="s">
        <v>47</v>
      </c>
      <c r="D89" s="29"/>
      <c r="E89" s="36" t="s">
        <v>46</v>
      </c>
      <c r="F89" s="36" t="s">
        <v>61</v>
      </c>
    </row>
    <row r="90" spans="1:6">
      <c r="A90" s="13" t="s">
        <v>8</v>
      </c>
      <c r="B90" s="19" t="s">
        <v>48</v>
      </c>
      <c r="C90" s="15">
        <v>45</v>
      </c>
      <c r="D90" s="29"/>
      <c r="E90" s="31" t="s">
        <v>48</v>
      </c>
      <c r="F90" s="31">
        <f>AVERAGEIF($B$90:$B$98,E90,$C$90:$C$98)</f>
        <v>61.666666666666664</v>
      </c>
    </row>
    <row r="91" spans="1:6">
      <c r="A91" s="13" t="s">
        <v>9</v>
      </c>
      <c r="B91" s="19" t="s">
        <v>48</v>
      </c>
      <c r="C91" s="15">
        <v>60</v>
      </c>
      <c r="D91" s="29"/>
      <c r="E91" s="31" t="s">
        <v>49</v>
      </c>
      <c r="F91" s="31">
        <f t="shared" ref="F91:F92" si="21">AVERAGEIF($B$90:$B$98,E91,$C$90:$C$98)</f>
        <v>81.666666666666671</v>
      </c>
    </row>
    <row r="92" spans="1:6">
      <c r="A92" s="13" t="s">
        <v>10</v>
      </c>
      <c r="B92" s="19" t="s">
        <v>48</v>
      </c>
      <c r="C92" s="15">
        <v>80</v>
      </c>
      <c r="D92" s="29"/>
      <c r="E92" s="31" t="s">
        <v>50</v>
      </c>
      <c r="F92" s="31">
        <f t="shared" si="21"/>
        <v>58.666666666666664</v>
      </c>
    </row>
    <row r="93" spans="1:6">
      <c r="A93" s="13" t="s">
        <v>11</v>
      </c>
      <c r="B93" s="19" t="s">
        <v>49</v>
      </c>
      <c r="C93" s="15">
        <v>65</v>
      </c>
      <c r="D93" s="29"/>
    </row>
    <row r="94" spans="1:6">
      <c r="A94" s="13" t="s">
        <v>12</v>
      </c>
      <c r="B94" s="19" t="s">
        <v>49</v>
      </c>
      <c r="C94" s="15">
        <v>100</v>
      </c>
      <c r="D94" s="29"/>
    </row>
    <row r="95" spans="1:6">
      <c r="A95" s="14" t="s">
        <v>13</v>
      </c>
      <c r="B95" s="20" t="s">
        <v>49</v>
      </c>
      <c r="C95" s="15">
        <v>80</v>
      </c>
      <c r="D95" s="29"/>
    </row>
    <row r="96" spans="1:6">
      <c r="A96" s="15" t="s">
        <v>43</v>
      </c>
      <c r="B96" s="44" t="s">
        <v>50</v>
      </c>
      <c r="C96" s="33">
        <v>43</v>
      </c>
      <c r="D96" s="29"/>
    </row>
    <row r="97" spans="1:4">
      <c r="A97" s="15" t="s">
        <v>44</v>
      </c>
      <c r="B97" s="44" t="s">
        <v>50</v>
      </c>
      <c r="C97" s="33">
        <v>58</v>
      </c>
      <c r="D97" s="29"/>
    </row>
    <row r="98" spans="1:4">
      <c r="A98" s="15" t="s">
        <v>45</v>
      </c>
      <c r="B98" s="44" t="s">
        <v>50</v>
      </c>
      <c r="C98" s="33">
        <v>75</v>
      </c>
      <c r="D98" s="29"/>
    </row>
  </sheetData>
  <mergeCells count="4">
    <mergeCell ref="A16:D16"/>
    <mergeCell ref="A61:C61"/>
    <mergeCell ref="A74:C74"/>
    <mergeCell ref="A87:C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33D65-F43E-4B6F-9C45-196168166406}">
  <dimension ref="A1:H34"/>
  <sheetViews>
    <sheetView tabSelected="1" workbookViewId="0">
      <selection activeCell="G2" sqref="G2:G34"/>
    </sheetView>
  </sheetViews>
  <sheetFormatPr defaultRowHeight="14.4"/>
  <cols>
    <col min="1" max="1" width="10.33203125" bestFit="1" customWidth="1"/>
    <col min="5" max="5" width="18.109375" customWidth="1"/>
    <col min="6" max="6" width="19.5546875" customWidth="1"/>
    <col min="7" max="7" width="16.77734375" customWidth="1"/>
  </cols>
  <sheetData>
    <row r="1" spans="1:8">
      <c r="A1" s="46" t="s">
        <v>62</v>
      </c>
      <c r="B1" s="46" t="s">
        <v>63</v>
      </c>
      <c r="C1" s="46" t="s">
        <v>64</v>
      </c>
      <c r="D1" s="46" t="s">
        <v>65</v>
      </c>
      <c r="E1" s="46" t="s">
        <v>66</v>
      </c>
      <c r="F1" s="46" t="s">
        <v>67</v>
      </c>
      <c r="G1" s="46" t="s">
        <v>68</v>
      </c>
      <c r="H1" s="45"/>
    </row>
    <row r="2" spans="1:8">
      <c r="A2" s="47">
        <v>46054</v>
      </c>
      <c r="B2" s="31">
        <f>DAY(A2)</f>
        <v>1</v>
      </c>
      <c r="C2" s="31">
        <f>MONTH(A2)</f>
        <v>2</v>
      </c>
      <c r="D2" s="31">
        <f>YEAR(A2)</f>
        <v>2026</v>
      </c>
      <c r="E2" s="31" t="str">
        <f>TEXT(A2,"ddd")</f>
        <v>Sun</v>
      </c>
      <c r="F2" s="31" t="str">
        <f>TEXT(A2,"mmm")</f>
        <v>Feb</v>
      </c>
      <c r="G2" s="31">
        <f>WEEKDAY(A2,1)</f>
        <v>1</v>
      </c>
    </row>
    <row r="3" spans="1:8">
      <c r="A3" s="47">
        <v>46055</v>
      </c>
      <c r="B3" s="31">
        <f t="shared" ref="B3:B34" si="0">DAY(A3)</f>
        <v>2</v>
      </c>
      <c r="C3" s="31">
        <f t="shared" ref="C3:C34" si="1">MONTH(A3)</f>
        <v>2</v>
      </c>
      <c r="D3" s="31">
        <f t="shared" ref="D3:D34" si="2">YEAR(A3)</f>
        <v>2026</v>
      </c>
      <c r="E3" s="31" t="str">
        <f t="shared" ref="E3:E34" si="3">TEXT(A3,"ddd")</f>
        <v>Mon</v>
      </c>
      <c r="F3" s="31" t="str">
        <f t="shared" ref="F3:F34" si="4">TEXT(A3,"mmm")</f>
        <v>Feb</v>
      </c>
      <c r="G3" s="31">
        <f t="shared" ref="G3:G34" si="5">WEEKDAY(A3,1)</f>
        <v>2</v>
      </c>
    </row>
    <row r="4" spans="1:8">
      <c r="A4" s="47">
        <v>46056</v>
      </c>
      <c r="B4" s="31">
        <f t="shared" si="0"/>
        <v>3</v>
      </c>
      <c r="C4" s="31">
        <f t="shared" si="1"/>
        <v>2</v>
      </c>
      <c r="D4" s="31">
        <f t="shared" si="2"/>
        <v>2026</v>
      </c>
      <c r="E4" s="31" t="str">
        <f t="shared" si="3"/>
        <v>Tue</v>
      </c>
      <c r="F4" s="31" t="str">
        <f t="shared" si="4"/>
        <v>Feb</v>
      </c>
      <c r="G4" s="31">
        <f t="shared" si="5"/>
        <v>3</v>
      </c>
    </row>
    <row r="5" spans="1:8">
      <c r="A5" s="47">
        <v>46057</v>
      </c>
      <c r="B5" s="31">
        <f t="shared" si="0"/>
        <v>4</v>
      </c>
      <c r="C5" s="31">
        <f t="shared" si="1"/>
        <v>2</v>
      </c>
      <c r="D5" s="31">
        <f t="shared" si="2"/>
        <v>2026</v>
      </c>
      <c r="E5" s="31" t="str">
        <f t="shared" si="3"/>
        <v>Wed</v>
      </c>
      <c r="F5" s="31" t="str">
        <f t="shared" si="4"/>
        <v>Feb</v>
      </c>
      <c r="G5" s="31">
        <f t="shared" si="5"/>
        <v>4</v>
      </c>
    </row>
    <row r="6" spans="1:8">
      <c r="A6" s="47">
        <v>46058</v>
      </c>
      <c r="B6" s="31">
        <f t="shared" si="0"/>
        <v>5</v>
      </c>
      <c r="C6" s="31">
        <f t="shared" si="1"/>
        <v>2</v>
      </c>
      <c r="D6" s="31">
        <f t="shared" si="2"/>
        <v>2026</v>
      </c>
      <c r="E6" s="31" t="str">
        <f t="shared" si="3"/>
        <v>Thu</v>
      </c>
      <c r="F6" s="31" t="str">
        <f t="shared" si="4"/>
        <v>Feb</v>
      </c>
      <c r="G6" s="31">
        <f t="shared" si="5"/>
        <v>5</v>
      </c>
    </row>
    <row r="7" spans="1:8">
      <c r="A7" s="47">
        <v>46059</v>
      </c>
      <c r="B7" s="31">
        <f t="shared" si="0"/>
        <v>6</v>
      </c>
      <c r="C7" s="31">
        <f t="shared" si="1"/>
        <v>2</v>
      </c>
      <c r="D7" s="31">
        <f t="shared" si="2"/>
        <v>2026</v>
      </c>
      <c r="E7" s="31" t="str">
        <f t="shared" si="3"/>
        <v>Fri</v>
      </c>
      <c r="F7" s="31" t="str">
        <f t="shared" si="4"/>
        <v>Feb</v>
      </c>
      <c r="G7" s="31">
        <f t="shared" si="5"/>
        <v>6</v>
      </c>
    </row>
    <row r="8" spans="1:8">
      <c r="A8" s="47">
        <v>46060</v>
      </c>
      <c r="B8" s="31">
        <f t="shared" si="0"/>
        <v>7</v>
      </c>
      <c r="C8" s="31">
        <f t="shared" si="1"/>
        <v>2</v>
      </c>
      <c r="D8" s="31">
        <f t="shared" si="2"/>
        <v>2026</v>
      </c>
      <c r="E8" s="31" t="str">
        <f t="shared" si="3"/>
        <v>Sat</v>
      </c>
      <c r="F8" s="31" t="str">
        <f t="shared" si="4"/>
        <v>Feb</v>
      </c>
      <c r="G8" s="31">
        <f t="shared" si="5"/>
        <v>7</v>
      </c>
    </row>
    <row r="9" spans="1:8">
      <c r="A9" s="47">
        <v>46061</v>
      </c>
      <c r="B9" s="31">
        <f t="shared" si="0"/>
        <v>8</v>
      </c>
      <c r="C9" s="31">
        <f t="shared" si="1"/>
        <v>2</v>
      </c>
      <c r="D9" s="31">
        <f t="shared" si="2"/>
        <v>2026</v>
      </c>
      <c r="E9" s="31" t="str">
        <f t="shared" si="3"/>
        <v>Sun</v>
      </c>
      <c r="F9" s="31" t="str">
        <f t="shared" si="4"/>
        <v>Feb</v>
      </c>
      <c r="G9" s="31">
        <f t="shared" si="5"/>
        <v>1</v>
      </c>
    </row>
    <row r="10" spans="1:8">
      <c r="A10" s="47">
        <v>46062</v>
      </c>
      <c r="B10" s="31">
        <f t="shared" si="0"/>
        <v>9</v>
      </c>
      <c r="C10" s="31">
        <f t="shared" si="1"/>
        <v>2</v>
      </c>
      <c r="D10" s="31">
        <f t="shared" si="2"/>
        <v>2026</v>
      </c>
      <c r="E10" s="31" t="str">
        <f t="shared" si="3"/>
        <v>Mon</v>
      </c>
      <c r="F10" s="31" t="str">
        <f t="shared" si="4"/>
        <v>Feb</v>
      </c>
      <c r="G10" s="31">
        <f t="shared" si="5"/>
        <v>2</v>
      </c>
    </row>
    <row r="11" spans="1:8">
      <c r="A11" s="47">
        <v>46063</v>
      </c>
      <c r="B11" s="31">
        <f t="shared" si="0"/>
        <v>10</v>
      </c>
      <c r="C11" s="31">
        <f t="shared" si="1"/>
        <v>2</v>
      </c>
      <c r="D11" s="31">
        <f t="shared" si="2"/>
        <v>2026</v>
      </c>
      <c r="E11" s="31" t="str">
        <f t="shared" si="3"/>
        <v>Tue</v>
      </c>
      <c r="F11" s="31" t="str">
        <f t="shared" si="4"/>
        <v>Feb</v>
      </c>
      <c r="G11" s="31">
        <f t="shared" si="5"/>
        <v>3</v>
      </c>
    </row>
    <row r="12" spans="1:8">
      <c r="A12" s="47">
        <v>46064</v>
      </c>
      <c r="B12" s="31">
        <f t="shared" si="0"/>
        <v>11</v>
      </c>
      <c r="C12" s="31">
        <f t="shared" si="1"/>
        <v>2</v>
      </c>
      <c r="D12" s="31">
        <f t="shared" si="2"/>
        <v>2026</v>
      </c>
      <c r="E12" s="31" t="str">
        <f t="shared" si="3"/>
        <v>Wed</v>
      </c>
      <c r="F12" s="31" t="str">
        <f t="shared" si="4"/>
        <v>Feb</v>
      </c>
      <c r="G12" s="31">
        <f t="shared" si="5"/>
        <v>4</v>
      </c>
    </row>
    <row r="13" spans="1:8">
      <c r="A13" s="47">
        <v>46065</v>
      </c>
      <c r="B13" s="31">
        <f t="shared" si="0"/>
        <v>12</v>
      </c>
      <c r="C13" s="31">
        <f t="shared" si="1"/>
        <v>2</v>
      </c>
      <c r="D13" s="31">
        <f t="shared" si="2"/>
        <v>2026</v>
      </c>
      <c r="E13" s="31" t="str">
        <f t="shared" si="3"/>
        <v>Thu</v>
      </c>
      <c r="F13" s="31" t="str">
        <f t="shared" si="4"/>
        <v>Feb</v>
      </c>
      <c r="G13" s="31">
        <f t="shared" si="5"/>
        <v>5</v>
      </c>
    </row>
    <row r="14" spans="1:8">
      <c r="A14" s="47">
        <v>46066</v>
      </c>
      <c r="B14" s="31">
        <f t="shared" si="0"/>
        <v>13</v>
      </c>
      <c r="C14" s="31">
        <f t="shared" si="1"/>
        <v>2</v>
      </c>
      <c r="D14" s="31">
        <f t="shared" si="2"/>
        <v>2026</v>
      </c>
      <c r="E14" s="31" t="str">
        <f t="shared" si="3"/>
        <v>Fri</v>
      </c>
      <c r="F14" s="31" t="str">
        <f t="shared" si="4"/>
        <v>Feb</v>
      </c>
      <c r="G14" s="31">
        <f t="shared" si="5"/>
        <v>6</v>
      </c>
    </row>
    <row r="15" spans="1:8">
      <c r="A15" s="47">
        <v>46067</v>
      </c>
      <c r="B15" s="31">
        <f t="shared" si="0"/>
        <v>14</v>
      </c>
      <c r="C15" s="31">
        <f t="shared" si="1"/>
        <v>2</v>
      </c>
      <c r="D15" s="31">
        <f t="shared" si="2"/>
        <v>2026</v>
      </c>
      <c r="E15" s="31" t="str">
        <f t="shared" si="3"/>
        <v>Sat</v>
      </c>
      <c r="F15" s="31" t="str">
        <f t="shared" si="4"/>
        <v>Feb</v>
      </c>
      <c r="G15" s="31">
        <f t="shared" si="5"/>
        <v>7</v>
      </c>
    </row>
    <row r="16" spans="1:8">
      <c r="A16" s="47">
        <v>46068</v>
      </c>
      <c r="B16" s="31">
        <f t="shared" si="0"/>
        <v>15</v>
      </c>
      <c r="C16" s="31">
        <f t="shared" si="1"/>
        <v>2</v>
      </c>
      <c r="D16" s="31">
        <f t="shared" si="2"/>
        <v>2026</v>
      </c>
      <c r="E16" s="31" t="str">
        <f t="shared" si="3"/>
        <v>Sun</v>
      </c>
      <c r="F16" s="31" t="str">
        <f t="shared" si="4"/>
        <v>Feb</v>
      </c>
      <c r="G16" s="31">
        <f t="shared" si="5"/>
        <v>1</v>
      </c>
    </row>
    <row r="17" spans="1:7">
      <c r="A17" s="47">
        <v>46069</v>
      </c>
      <c r="B17" s="31">
        <f t="shared" si="0"/>
        <v>16</v>
      </c>
      <c r="C17" s="31">
        <f t="shared" si="1"/>
        <v>2</v>
      </c>
      <c r="D17" s="31">
        <f t="shared" si="2"/>
        <v>2026</v>
      </c>
      <c r="E17" s="31" t="str">
        <f t="shared" si="3"/>
        <v>Mon</v>
      </c>
      <c r="F17" s="31" t="str">
        <f t="shared" si="4"/>
        <v>Feb</v>
      </c>
      <c r="G17" s="31">
        <f t="shared" si="5"/>
        <v>2</v>
      </c>
    </row>
    <row r="18" spans="1:7">
      <c r="A18" s="47">
        <v>46070</v>
      </c>
      <c r="B18" s="31">
        <f t="shared" si="0"/>
        <v>17</v>
      </c>
      <c r="C18" s="31">
        <f t="shared" si="1"/>
        <v>2</v>
      </c>
      <c r="D18" s="31">
        <f t="shared" si="2"/>
        <v>2026</v>
      </c>
      <c r="E18" s="31" t="str">
        <f t="shared" si="3"/>
        <v>Tue</v>
      </c>
      <c r="F18" s="31" t="str">
        <f t="shared" si="4"/>
        <v>Feb</v>
      </c>
      <c r="G18" s="31">
        <f t="shared" si="5"/>
        <v>3</v>
      </c>
    </row>
    <row r="19" spans="1:7">
      <c r="A19" s="47">
        <v>46071</v>
      </c>
      <c r="B19" s="31">
        <f t="shared" si="0"/>
        <v>18</v>
      </c>
      <c r="C19" s="31">
        <f t="shared" si="1"/>
        <v>2</v>
      </c>
      <c r="D19" s="31">
        <f t="shared" si="2"/>
        <v>2026</v>
      </c>
      <c r="E19" s="31" t="str">
        <f t="shared" si="3"/>
        <v>Wed</v>
      </c>
      <c r="F19" s="31" t="str">
        <f t="shared" si="4"/>
        <v>Feb</v>
      </c>
      <c r="G19" s="31">
        <f t="shared" si="5"/>
        <v>4</v>
      </c>
    </row>
    <row r="20" spans="1:7">
      <c r="A20" s="47">
        <v>46072</v>
      </c>
      <c r="B20" s="31">
        <f t="shared" si="0"/>
        <v>19</v>
      </c>
      <c r="C20" s="31">
        <f t="shared" si="1"/>
        <v>2</v>
      </c>
      <c r="D20" s="31">
        <f t="shared" si="2"/>
        <v>2026</v>
      </c>
      <c r="E20" s="31" t="str">
        <f t="shared" si="3"/>
        <v>Thu</v>
      </c>
      <c r="F20" s="31" t="str">
        <f t="shared" si="4"/>
        <v>Feb</v>
      </c>
      <c r="G20" s="31">
        <f t="shared" si="5"/>
        <v>5</v>
      </c>
    </row>
    <row r="21" spans="1:7">
      <c r="A21" s="47">
        <v>46073</v>
      </c>
      <c r="B21" s="31">
        <f t="shared" si="0"/>
        <v>20</v>
      </c>
      <c r="C21" s="31">
        <f t="shared" si="1"/>
        <v>2</v>
      </c>
      <c r="D21" s="31">
        <f t="shared" si="2"/>
        <v>2026</v>
      </c>
      <c r="E21" s="31" t="str">
        <f t="shared" si="3"/>
        <v>Fri</v>
      </c>
      <c r="F21" s="31" t="str">
        <f t="shared" si="4"/>
        <v>Feb</v>
      </c>
      <c r="G21" s="31">
        <f t="shared" si="5"/>
        <v>6</v>
      </c>
    </row>
    <row r="22" spans="1:7">
      <c r="A22" s="47">
        <v>46074</v>
      </c>
      <c r="B22" s="31">
        <f t="shared" si="0"/>
        <v>21</v>
      </c>
      <c r="C22" s="31">
        <f t="shared" si="1"/>
        <v>2</v>
      </c>
      <c r="D22" s="31">
        <f t="shared" si="2"/>
        <v>2026</v>
      </c>
      <c r="E22" s="31" t="str">
        <f t="shared" si="3"/>
        <v>Sat</v>
      </c>
      <c r="F22" s="31" t="str">
        <f t="shared" si="4"/>
        <v>Feb</v>
      </c>
      <c r="G22" s="31">
        <f t="shared" si="5"/>
        <v>7</v>
      </c>
    </row>
    <row r="23" spans="1:7">
      <c r="A23" s="47">
        <v>46075</v>
      </c>
      <c r="B23" s="31">
        <f t="shared" si="0"/>
        <v>22</v>
      </c>
      <c r="C23" s="31">
        <f t="shared" si="1"/>
        <v>2</v>
      </c>
      <c r="D23" s="31">
        <f t="shared" si="2"/>
        <v>2026</v>
      </c>
      <c r="E23" s="31" t="str">
        <f t="shared" si="3"/>
        <v>Sun</v>
      </c>
      <c r="F23" s="31" t="str">
        <f t="shared" si="4"/>
        <v>Feb</v>
      </c>
      <c r="G23" s="31">
        <f t="shared" si="5"/>
        <v>1</v>
      </c>
    </row>
    <row r="24" spans="1:7">
      <c r="A24" s="47">
        <v>46076</v>
      </c>
      <c r="B24" s="31">
        <f t="shared" si="0"/>
        <v>23</v>
      </c>
      <c r="C24" s="31">
        <f t="shared" si="1"/>
        <v>2</v>
      </c>
      <c r="D24" s="31">
        <f t="shared" si="2"/>
        <v>2026</v>
      </c>
      <c r="E24" s="31" t="str">
        <f t="shared" si="3"/>
        <v>Mon</v>
      </c>
      <c r="F24" s="31" t="str">
        <f t="shared" si="4"/>
        <v>Feb</v>
      </c>
      <c r="G24" s="31">
        <f t="shared" si="5"/>
        <v>2</v>
      </c>
    </row>
    <row r="25" spans="1:7">
      <c r="A25" s="47">
        <v>46077</v>
      </c>
      <c r="B25" s="31">
        <f t="shared" si="0"/>
        <v>24</v>
      </c>
      <c r="C25" s="31">
        <f t="shared" si="1"/>
        <v>2</v>
      </c>
      <c r="D25" s="31">
        <f t="shared" si="2"/>
        <v>2026</v>
      </c>
      <c r="E25" s="31" t="str">
        <f t="shared" si="3"/>
        <v>Tue</v>
      </c>
      <c r="F25" s="31" t="str">
        <f t="shared" si="4"/>
        <v>Feb</v>
      </c>
      <c r="G25" s="31">
        <f t="shared" si="5"/>
        <v>3</v>
      </c>
    </row>
    <row r="26" spans="1:7">
      <c r="A26" s="47">
        <v>46078</v>
      </c>
      <c r="B26" s="31">
        <f t="shared" si="0"/>
        <v>25</v>
      </c>
      <c r="C26" s="31">
        <f t="shared" si="1"/>
        <v>2</v>
      </c>
      <c r="D26" s="31">
        <f t="shared" si="2"/>
        <v>2026</v>
      </c>
      <c r="E26" s="31" t="str">
        <f t="shared" si="3"/>
        <v>Wed</v>
      </c>
      <c r="F26" s="31" t="str">
        <f t="shared" si="4"/>
        <v>Feb</v>
      </c>
      <c r="G26" s="31">
        <f t="shared" si="5"/>
        <v>4</v>
      </c>
    </row>
    <row r="27" spans="1:7">
      <c r="A27" s="47">
        <v>46079</v>
      </c>
      <c r="B27" s="31">
        <f t="shared" si="0"/>
        <v>26</v>
      </c>
      <c r="C27" s="31">
        <f t="shared" si="1"/>
        <v>2</v>
      </c>
      <c r="D27" s="31">
        <f t="shared" si="2"/>
        <v>2026</v>
      </c>
      <c r="E27" s="31" t="str">
        <f t="shared" si="3"/>
        <v>Thu</v>
      </c>
      <c r="F27" s="31" t="str">
        <f t="shared" si="4"/>
        <v>Feb</v>
      </c>
      <c r="G27" s="31">
        <f t="shared" si="5"/>
        <v>5</v>
      </c>
    </row>
    <row r="28" spans="1:7">
      <c r="A28" s="47">
        <v>46080</v>
      </c>
      <c r="B28" s="31">
        <f t="shared" si="0"/>
        <v>27</v>
      </c>
      <c r="C28" s="31">
        <f t="shared" si="1"/>
        <v>2</v>
      </c>
      <c r="D28" s="31">
        <f t="shared" si="2"/>
        <v>2026</v>
      </c>
      <c r="E28" s="31" t="str">
        <f t="shared" si="3"/>
        <v>Fri</v>
      </c>
      <c r="F28" s="31" t="str">
        <f t="shared" si="4"/>
        <v>Feb</v>
      </c>
      <c r="G28" s="31">
        <f t="shared" si="5"/>
        <v>6</v>
      </c>
    </row>
    <row r="29" spans="1:7">
      <c r="A29" s="47">
        <v>46081</v>
      </c>
      <c r="B29" s="31">
        <f t="shared" si="0"/>
        <v>28</v>
      </c>
      <c r="C29" s="31">
        <f t="shared" si="1"/>
        <v>2</v>
      </c>
      <c r="D29" s="31">
        <f t="shared" si="2"/>
        <v>2026</v>
      </c>
      <c r="E29" s="31" t="str">
        <f t="shared" si="3"/>
        <v>Sat</v>
      </c>
      <c r="F29" s="31" t="str">
        <f t="shared" si="4"/>
        <v>Feb</v>
      </c>
      <c r="G29" s="31">
        <f t="shared" si="5"/>
        <v>7</v>
      </c>
    </row>
    <row r="30" spans="1:7">
      <c r="A30" s="47">
        <v>46082</v>
      </c>
      <c r="B30" s="31">
        <f t="shared" si="0"/>
        <v>1</v>
      </c>
      <c r="C30" s="31">
        <f t="shared" si="1"/>
        <v>3</v>
      </c>
      <c r="D30" s="31">
        <f t="shared" si="2"/>
        <v>2026</v>
      </c>
      <c r="E30" s="31" t="str">
        <f t="shared" si="3"/>
        <v>Sun</v>
      </c>
      <c r="F30" s="31" t="str">
        <f t="shared" si="4"/>
        <v>Mar</v>
      </c>
      <c r="G30" s="31">
        <f t="shared" si="5"/>
        <v>1</v>
      </c>
    </row>
    <row r="31" spans="1:7">
      <c r="A31" s="47">
        <v>46083</v>
      </c>
      <c r="B31" s="31">
        <f t="shared" si="0"/>
        <v>2</v>
      </c>
      <c r="C31" s="31">
        <f t="shared" si="1"/>
        <v>3</v>
      </c>
      <c r="D31" s="31">
        <f t="shared" si="2"/>
        <v>2026</v>
      </c>
      <c r="E31" s="31" t="str">
        <f t="shared" si="3"/>
        <v>Mon</v>
      </c>
      <c r="F31" s="31" t="str">
        <f t="shared" si="4"/>
        <v>Mar</v>
      </c>
      <c r="G31" s="31">
        <f t="shared" si="5"/>
        <v>2</v>
      </c>
    </row>
    <row r="32" spans="1:7">
      <c r="A32" s="47">
        <v>46084</v>
      </c>
      <c r="B32" s="31">
        <f t="shared" si="0"/>
        <v>3</v>
      </c>
      <c r="C32" s="31">
        <f t="shared" si="1"/>
        <v>3</v>
      </c>
      <c r="D32" s="31">
        <f t="shared" si="2"/>
        <v>2026</v>
      </c>
      <c r="E32" s="31" t="str">
        <f t="shared" si="3"/>
        <v>Tue</v>
      </c>
      <c r="F32" s="31" t="str">
        <f t="shared" si="4"/>
        <v>Mar</v>
      </c>
      <c r="G32" s="31">
        <f t="shared" si="5"/>
        <v>3</v>
      </c>
    </row>
    <row r="33" spans="1:7">
      <c r="A33" s="47">
        <v>46085</v>
      </c>
      <c r="B33" s="31">
        <f t="shared" si="0"/>
        <v>4</v>
      </c>
      <c r="C33" s="31">
        <f t="shared" si="1"/>
        <v>3</v>
      </c>
      <c r="D33" s="31">
        <f t="shared" si="2"/>
        <v>2026</v>
      </c>
      <c r="E33" s="31" t="str">
        <f t="shared" si="3"/>
        <v>Wed</v>
      </c>
      <c r="F33" s="31" t="str">
        <f t="shared" si="4"/>
        <v>Mar</v>
      </c>
      <c r="G33" s="31">
        <f t="shared" si="5"/>
        <v>4</v>
      </c>
    </row>
    <row r="34" spans="1:7">
      <c r="A34" s="47">
        <v>46086</v>
      </c>
      <c r="B34" s="31">
        <f t="shared" si="0"/>
        <v>5</v>
      </c>
      <c r="C34" s="31">
        <f t="shared" si="1"/>
        <v>3</v>
      </c>
      <c r="D34" s="31">
        <f t="shared" si="2"/>
        <v>2026</v>
      </c>
      <c r="E34" s="31" t="str">
        <f t="shared" si="3"/>
        <v>Thu</v>
      </c>
      <c r="F34" s="31" t="str">
        <f t="shared" si="4"/>
        <v>Mar</v>
      </c>
      <c r="G34" s="31">
        <f t="shared" si="5"/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Basics of Excel</vt:lpstr>
      <vt:lpstr>Text Functions</vt:lpstr>
      <vt:lpstr>Date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Banerjee | Δdictech - Δdx®</dc:creator>
  <cp:lastModifiedBy>Aniket Banerjee | Δdictech - Δdx®</cp:lastModifiedBy>
  <dcterms:created xsi:type="dcterms:W3CDTF">2015-06-05T18:17:20Z</dcterms:created>
  <dcterms:modified xsi:type="dcterms:W3CDTF">2026-02-04T11:32:54Z</dcterms:modified>
</cp:coreProperties>
</file>